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 Heat Dashboard (RK-style)</t>
        </is>
      </c>
    </row>
    <row r="3">
      <c r="A3" s="2" t="inlineStr">
        <is>
          <t>Category</t>
        </is>
      </c>
      <c r="B3" s="2" t="inlineStr">
        <is>
          <t>Ticker</t>
        </is>
      </c>
      <c r="C3" s="2" t="inlineStr">
        <is>
          <t>Last</t>
        </is>
      </c>
      <c r="D3" s="2" t="inlineStr">
        <is>
          <t>3M %</t>
        </is>
      </c>
      <c r="E3" s="2" t="inlineStr">
        <is>
          <t>6M %</t>
        </is>
      </c>
      <c r="F3" s="2" t="inlineStr">
        <is>
          <t>RS 6M vs SPY</t>
        </is>
      </c>
    </row>
    <row r="4">
      <c r="A4" s="3" t="inlineStr">
        <is>
          <t>INDEX</t>
        </is>
      </c>
      <c r="B4" s="4" t="inlineStr">
        <is>
          <t>SPY</t>
        </is>
      </c>
      <c r="C4" s="4">
        <f>VLOOKUP(B4,Data!A:F,3,FALSE)</f>
        <v/>
      </c>
      <c r="D4" s="5">
        <f>VLOOKUP(B4,Data!A:F,4,FALSE)</f>
        <v/>
      </c>
      <c r="E4" s="5">
        <f>VLOOKUP(B4,Data!A:F,5,FALSE)</f>
        <v/>
      </c>
      <c r="F4" s="5">
        <f>VLOOKUP(B4,Data!A:F,6,FALSE)</f>
        <v/>
      </c>
    </row>
    <row r="5">
      <c r="A5" s="3" t="inlineStr">
        <is>
          <t>INDEX</t>
        </is>
      </c>
      <c r="B5" s="4" t="inlineStr">
        <is>
          <t>QQQ</t>
        </is>
      </c>
      <c r="C5" s="4">
        <f>VLOOKUP(B5,Data!A:F,3,FALSE)</f>
        <v/>
      </c>
      <c r="D5" s="5">
        <f>VLOOKUP(B5,Data!A:F,4,FALSE)</f>
        <v/>
      </c>
      <c r="E5" s="5">
        <f>VLOOKUP(B5,Data!A:F,5,FALSE)</f>
        <v/>
      </c>
      <c r="F5" s="5">
        <f>VLOOKUP(B5,Data!A:F,6,FALSE)</f>
        <v/>
      </c>
    </row>
    <row r="6">
      <c r="A6" s="3" t="inlineStr">
        <is>
          <t>SECTOR</t>
        </is>
      </c>
      <c r="B6" s="4" t="inlineStr">
        <is>
          <t>XLK</t>
        </is>
      </c>
      <c r="C6" s="4">
        <f>VLOOKUP(B6,Data!A:F,3,FALSE)</f>
        <v/>
      </c>
      <c r="D6" s="5">
        <f>VLOOKUP(B6,Data!A:F,4,FALSE)</f>
        <v/>
      </c>
      <c r="E6" s="5">
        <f>VLOOKUP(B6,Data!A:F,5,FALSE)</f>
        <v/>
      </c>
      <c r="F6" s="5">
        <f>VLOOKUP(B6,Data!A:F,6,FALSE)</f>
        <v/>
      </c>
    </row>
    <row r="7">
      <c r="A7" s="3" t="inlineStr">
        <is>
          <t>SECTOR</t>
        </is>
      </c>
      <c r="B7" s="4" t="inlineStr">
        <is>
          <t>XLF</t>
        </is>
      </c>
      <c r="C7" s="4">
        <f>VLOOKUP(B7,Data!A:F,3,FALSE)</f>
        <v/>
      </c>
      <c r="D7" s="5">
        <f>VLOOKUP(B7,Data!A:F,4,FALSE)</f>
        <v/>
      </c>
      <c r="E7" s="5">
        <f>VLOOKUP(B7,Data!A:F,5,FALSE)</f>
        <v/>
      </c>
      <c r="F7" s="5">
        <f>VLOOKUP(B7,Data!A:F,6,FALSE)</f>
        <v/>
      </c>
    </row>
    <row r="8">
      <c r="A8" s="3" t="inlineStr">
        <is>
          <t>STYLE</t>
        </is>
      </c>
      <c r="B8" s="4" t="inlineStr">
        <is>
          <t>IWF</t>
        </is>
      </c>
      <c r="C8" s="4">
        <f>VLOOKUP(B8,Data!A:F,3,FALSE)</f>
        <v/>
      </c>
      <c r="D8" s="5">
        <f>VLOOKUP(B8,Data!A:F,4,FALSE)</f>
        <v/>
      </c>
      <c r="E8" s="5">
        <f>VLOOKUP(B8,Data!A:F,5,FALSE)</f>
        <v/>
      </c>
      <c r="F8" s="5">
        <f>VLOOKUP(B8,Data!A:F,6,FALSE)</f>
        <v/>
      </c>
    </row>
    <row r="9">
      <c r="A9" s="3" t="inlineStr">
        <is>
          <t>STYLE</t>
        </is>
      </c>
      <c r="B9" s="4" t="inlineStr">
        <is>
          <t>IWD</t>
        </is>
      </c>
      <c r="C9" s="4">
        <f>VLOOKUP(B9,Data!A:F,3,FALSE)</f>
        <v/>
      </c>
      <c r="D9" s="5">
        <f>VLOOKUP(B9,Data!A:F,4,FALSE)</f>
        <v/>
      </c>
      <c r="E9" s="5">
        <f>VLOOKUP(B9,Data!A:F,5,FALSE)</f>
        <v/>
      </c>
      <c r="F9" s="5">
        <f>VLOOKUP(B9,Data!A:F,6,FALSE)</f>
        <v/>
      </c>
    </row>
    <row r="10">
      <c r="A10" s="3" t="inlineStr">
        <is>
          <t>RISK</t>
        </is>
      </c>
      <c r="B10" s="4" t="inlineStr">
        <is>
          <t>TLT</t>
        </is>
      </c>
      <c r="C10" s="4">
        <f>VLOOKUP(B10,Data!A:F,3,FALSE)</f>
        <v/>
      </c>
      <c r="D10" s="5">
        <f>VLOOKUP(B10,Data!A:F,4,FALSE)</f>
        <v/>
      </c>
      <c r="E10" s="5">
        <f>VLOOKUP(B10,Data!A:F,5,FALSE)</f>
        <v/>
      </c>
      <c r="F10" s="5">
        <f>VLOOKUP(B10,Data!A:F,6,FALSE)</f>
        <v/>
      </c>
    </row>
    <row r="11">
      <c r="A11" s="3" t="inlineStr">
        <is>
          <t>RISK</t>
        </is>
      </c>
      <c r="B11" s="4" t="inlineStr">
        <is>
          <t>GLD</t>
        </is>
      </c>
      <c r="C11" s="4">
        <f>VLOOKUP(B11,Data!A:F,3,FALSE)</f>
        <v/>
      </c>
      <c r="D11" s="5">
        <f>VLOOKUP(B11,Data!A:F,4,FALSE)</f>
        <v/>
      </c>
      <c r="E11" s="5">
        <f>VLOOKUP(B11,Data!A:F,5,FALSE)</f>
        <v/>
      </c>
      <c r="F11" s="5">
        <f>VLOOKUP(B11,Data!A:F,6,FALSE)</f>
        <v/>
      </c>
    </row>
  </sheetData>
  <conditionalFormatting sqref="F4:F11">
    <cfRule type="colorScale" priority="1">
      <colorScale>
        <cfvo type="num" val="-0.1"/>
        <cfvo type="num" val="0"/>
        <cfvo type="num" val="0.1"/>
        <color rgb="00F87171"/>
        <color rgb="00FDE68A"/>
        <color rgb="004ADE8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Ticker</t>
        </is>
      </c>
      <c r="B1" s="6" t="inlineStr">
        <is>
          <t>Last</t>
        </is>
      </c>
      <c r="C1" s="6" t="inlineStr">
        <is>
          <t>Ret3M</t>
        </is>
      </c>
      <c r="D1" s="6" t="inlineStr">
        <is>
          <t>Ret6M</t>
        </is>
      </c>
      <c r="E1" s="6" t="inlineStr">
        <is>
          <t>RS6M</t>
        </is>
      </c>
      <c r="F1" s="6" t="inlineStr">
        <is>
          <t>UpdatedAt</t>
        </is>
      </c>
    </row>
    <row r="2">
      <c r="A2" t="inlineStr">
        <is>
          <t>SPY</t>
        </is>
      </c>
    </row>
    <row r="3">
      <c r="A3" t="inlineStr">
        <is>
          <t>QQQ</t>
        </is>
      </c>
    </row>
    <row r="4">
      <c r="A4" t="inlineStr">
        <is>
          <t>XLK</t>
        </is>
      </c>
    </row>
    <row r="5">
      <c r="A5" t="inlineStr">
        <is>
          <t>XLF</t>
        </is>
      </c>
    </row>
    <row r="6">
      <c r="A6" t="inlineStr">
        <is>
          <t>IWF</t>
        </is>
      </c>
    </row>
    <row r="7">
      <c r="A7" t="inlineStr">
        <is>
          <t>IWD</t>
        </is>
      </c>
    </row>
    <row r="8">
      <c r="A8" t="inlineStr">
        <is>
          <t>TLT</t>
        </is>
      </c>
    </row>
    <row r="9">
      <c r="A9" t="inlineStr">
        <is>
          <t>GLD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2026-02-04T13:54:20Z</dcterms:created>
  <dcterms:modified xmlns:dcterms="http://purl.org/dc/terms/" xmlns:xsi="http://www.w3.org/2001/XMLSchema-instance" xsi:type="dcterms:W3CDTF">2026-02-04T13:54:20Z</dcterms:modified>
</cp:coreProperties>
</file>